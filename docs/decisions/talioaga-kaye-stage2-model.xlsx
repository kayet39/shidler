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alioaga\Documents\"/>
    </mc:Choice>
  </mc:AlternateContent>
  <xr:revisionPtr revIDLastSave="0" documentId="13_ncr:1_{4AEA71D4-06E1-4DE0-807B-C0C8B164CB51}" xr6:coauthVersionLast="47" xr6:coauthVersionMax="47" xr10:uidLastSave="{00000000-0000-0000-0000-000000000000}"/>
  <bookViews>
    <workbookView xWindow="9030" yWindow="660" windowWidth="19470" windowHeight="14220" xr2:uid="{8B6B5F10-A026-4FAA-821B-0FEBE1014536}"/>
  </bookViews>
  <sheets>
    <sheet name="Main Model" sheetId="1" r:id="rId1"/>
    <sheet name="Notes" sheetId="3" r:id="rId2"/>
  </sheets>
  <definedNames>
    <definedName name="F0_in">'Main Model'!$B$7</definedName>
    <definedName name="F0_rate">'Main Model'!$B$7</definedName>
    <definedName name="FC_AMT">'Main Model'!$B$5</definedName>
    <definedName name="K_call">'Main Model'!$B$11</definedName>
    <definedName name="K_put">'Main Model'!$B$10</definedName>
    <definedName name="PREM_call">'Main Model'!$B$13</definedName>
    <definedName name="PREM_put">'Main Model'!$B$12</definedName>
    <definedName name="R_eur">'Main Model'!$B$9</definedName>
    <definedName name="R_usd">'Main Model'!$B$8</definedName>
    <definedName name="S0_in">'Main Model'!$B$6</definedName>
    <definedName name="T_days">'Main Model'!$B$14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1" l="1"/>
  <c r="B50" i="1"/>
  <c r="B49" i="1"/>
  <c r="B47" i="1"/>
  <c r="B46" i="1"/>
  <c r="E33" i="1"/>
  <c r="E32" i="1"/>
  <c r="E34" i="1"/>
  <c r="E35" i="1"/>
  <c r="E36" i="1"/>
  <c r="E37" i="1"/>
  <c r="E38" i="1"/>
  <c r="E39" i="1"/>
  <c r="E40" i="1"/>
  <c r="E41" i="1"/>
  <c r="E31" i="1"/>
  <c r="D32" i="1"/>
  <c r="D33" i="1"/>
  <c r="D34" i="1"/>
  <c r="D35" i="1"/>
  <c r="D36" i="1"/>
  <c r="D37" i="1"/>
  <c r="D38" i="1"/>
  <c r="D39" i="1"/>
  <c r="D40" i="1"/>
  <c r="D41" i="1"/>
  <c r="D31" i="1"/>
  <c r="C32" i="1"/>
  <c r="C33" i="1"/>
  <c r="C34" i="1"/>
  <c r="C35" i="1"/>
  <c r="C36" i="1"/>
  <c r="C37" i="1"/>
  <c r="C38" i="1"/>
  <c r="C39" i="1"/>
  <c r="C40" i="1"/>
  <c r="C41" i="1"/>
  <c r="C31" i="1"/>
  <c r="B32" i="1"/>
  <c r="B33" i="1"/>
  <c r="B34" i="1"/>
  <c r="B35" i="1"/>
  <c r="B36" i="1"/>
  <c r="B37" i="1"/>
  <c r="B38" i="1"/>
  <c r="B39" i="1"/>
  <c r="B40" i="1"/>
  <c r="B41" i="1"/>
  <c r="B31" i="1"/>
  <c r="B26" i="1"/>
  <c r="B25" i="1"/>
  <c r="B23" i="1"/>
  <c r="B22" i="1"/>
  <c r="B21" i="1"/>
  <c r="B19" i="1"/>
</calcChain>
</file>

<file path=xl/sharedStrings.xml><?xml version="1.0" encoding="utf-8"?>
<sst xmlns="http://schemas.openxmlformats.org/spreadsheetml/2006/main" count="78" uniqueCount="77">
  <si>
    <t>Notes &amp; Assumptions</t>
  </si>
  <si>
    <t>Color Coding:</t>
  </si>
  <si>
    <t>Yellow = Editable input cells</t>
  </si>
  <si>
    <t>Blue = Assumptions</t>
  </si>
  <si>
    <t>Green = Formula cells</t>
  </si>
  <si>
    <t>Gray = Output / summary cells</t>
  </si>
  <si>
    <t>AI &amp; LLM Usage:</t>
  </si>
  <si>
    <t>Stage 2: Excel Model Build</t>
  </si>
  <si>
    <t>Inputs Section</t>
  </si>
  <si>
    <t>Description</t>
  </si>
  <si>
    <t>Value</t>
  </si>
  <si>
    <t>Named Range</t>
  </si>
  <si>
    <t>Forward Rate (1yr)</t>
  </si>
  <si>
    <t>Put Option Strike (k)</t>
  </si>
  <si>
    <t xml:space="preserve">Put Option Premium </t>
  </si>
  <si>
    <t xml:space="preserve">USD Interest Rate </t>
  </si>
  <si>
    <t>EUR Interest Rate</t>
  </si>
  <si>
    <t>FC_AMT</t>
  </si>
  <si>
    <t>K_put</t>
  </si>
  <si>
    <t>PREM_put</t>
  </si>
  <si>
    <t>R_usd</t>
  </si>
  <si>
    <t>R_eur</t>
  </si>
  <si>
    <t>Hedge Calculations</t>
  </si>
  <si>
    <t>Strategy</t>
  </si>
  <si>
    <t>Formula</t>
  </si>
  <si>
    <t xml:space="preserve">Forward Hedge </t>
  </si>
  <si>
    <t xml:space="preserve">Money Market Hedge </t>
  </si>
  <si>
    <t>borrow in foreign currency</t>
  </si>
  <si>
    <t>convert at spot</t>
  </si>
  <si>
    <t>invest in USD</t>
  </si>
  <si>
    <t xml:space="preserve">Spot Rate </t>
  </si>
  <si>
    <t>Foreign Currency Amount</t>
  </si>
  <si>
    <t>S0_in</t>
  </si>
  <si>
    <t>F0_in</t>
  </si>
  <si>
    <t>K_call</t>
  </si>
  <si>
    <t>PREM_call</t>
  </si>
  <si>
    <t>T_days</t>
  </si>
  <si>
    <t>Call Option Strike (k)</t>
  </si>
  <si>
    <t>Call Option Premium</t>
  </si>
  <si>
    <t>Time to Maturity</t>
  </si>
  <si>
    <t>Option Hedge</t>
  </si>
  <si>
    <t>Put</t>
  </si>
  <si>
    <t>Call</t>
  </si>
  <si>
    <t>USD Proceeds = FC_AMT * S0_in</t>
  </si>
  <si>
    <t>Borrow EUR = FC_AMT / (1 + R_eur)</t>
  </si>
  <si>
    <t>USD Today = (FC_AMT / (1 + R_eur)) * S0_in</t>
  </si>
  <si>
    <t>Future USD = ((FC_AMT / (1 + R_eur)) * S0_in) * (1 + R_usd)</t>
  </si>
  <si>
    <t>Minimum USD Proceeds = (FC_AMT * K_put) - (FC_AMT * PREM_put)</t>
  </si>
  <si>
    <t>Cost = FC_AMT * PREM_call</t>
  </si>
  <si>
    <t>Sensitivity Table</t>
  </si>
  <si>
    <t>Scenario</t>
  </si>
  <si>
    <t>S_T</t>
  </si>
  <si>
    <t>Forward</t>
  </si>
  <si>
    <t>Money Market</t>
  </si>
  <si>
    <t>Put Option</t>
  </si>
  <si>
    <t>Forward (constant)</t>
  </si>
  <si>
    <t>Money Market (constant)</t>
  </si>
  <si>
    <t>Summary Output Section</t>
  </si>
  <si>
    <t xml:space="preserve">Strategy </t>
  </si>
  <si>
    <t>USD Proceeds</t>
  </si>
  <si>
    <t>Worst Case (-5%)</t>
  </si>
  <si>
    <t>Best Case (+5%)</t>
  </si>
  <si>
    <t>Put Option (Base: 1.09%)</t>
  </si>
  <si>
    <t>Recommendation</t>
  </si>
  <si>
    <t>tbd (stage 4)</t>
  </si>
  <si>
    <t>Assist in structuring the Excel model</t>
  </si>
  <si>
    <t>Verify financial formulas for FX hedging strategies (forward, money market, and options)</t>
  </si>
  <si>
    <t>Provide guidance on reasonable market-based assumptions for missing inputs (interest rates, spot rate, strike price)</t>
  </si>
  <si>
    <t>Support scenario analysis and sensitivity table setup</t>
  </si>
  <si>
    <t>All calculations, model construction, and final interpretation were completed and reviewed by the user.</t>
  </si>
  <si>
    <t>AI (ChatGPT)</t>
  </si>
  <si>
    <r>
      <rPr>
        <b/>
        <sz val="11"/>
        <color theme="1"/>
        <rFont val="Calibri"/>
        <family val="2"/>
        <scheme val="minor"/>
      </rPr>
      <t xml:space="preserve">Company: </t>
    </r>
    <r>
      <rPr>
        <sz val="11"/>
        <color theme="1"/>
        <rFont val="Calibri"/>
        <family val="2"/>
        <scheme val="minor"/>
      </rPr>
      <t>U.S. Aerospace Manufacturer</t>
    </r>
  </si>
  <si>
    <r>
      <rPr>
        <b/>
        <sz val="11"/>
        <color theme="1"/>
        <rFont val="Calibri"/>
        <family val="2"/>
        <scheme val="minor"/>
      </rPr>
      <t>Fiscal Year:</t>
    </r>
    <r>
      <rPr>
        <sz val="11"/>
        <color theme="1"/>
        <rFont val="Calibri"/>
        <family val="2"/>
        <scheme val="minor"/>
      </rPr>
      <t xml:space="preserve"> 2026</t>
    </r>
  </si>
  <si>
    <r>
      <rPr>
        <b/>
        <sz val="11"/>
        <color theme="1"/>
        <rFont val="Calibri"/>
        <family val="2"/>
        <scheme val="minor"/>
      </rPr>
      <t>Data Source:</t>
    </r>
    <r>
      <rPr>
        <sz val="11"/>
        <color theme="1"/>
        <rFont val="Calibri"/>
        <family val="2"/>
        <scheme val="minor"/>
      </rPr>
      <t xml:space="preserve"> Case memo assumptions; market-based estimates for FX rates, interest rates, and option pricing</t>
    </r>
  </si>
  <si>
    <r>
      <rPr>
        <b/>
        <sz val="11"/>
        <color theme="1"/>
        <rFont val="Calibri"/>
        <family val="2"/>
        <scheme val="minor"/>
      </rPr>
      <t>Units:</t>
    </r>
    <r>
      <rPr>
        <sz val="11"/>
        <color theme="1"/>
        <rFont val="Calibri"/>
        <family val="2"/>
        <scheme val="minor"/>
      </rPr>
      <t xml:space="preserve"> All figures in USD or EUR unless otherwise noted</t>
    </r>
  </si>
  <si>
    <r>
      <rPr>
        <b/>
        <sz val="11"/>
        <color theme="1"/>
        <rFont val="Calibri"/>
        <family val="2"/>
        <scheme val="minor"/>
      </rPr>
      <t xml:space="preserve">Tax Rate: </t>
    </r>
    <r>
      <rPr>
        <sz val="11"/>
        <color theme="1"/>
        <rFont val="Calibri"/>
        <family val="2"/>
        <scheme val="minor"/>
      </rPr>
      <t>21% (U.S. statutory corporate tax rate)</t>
    </r>
  </si>
  <si>
    <r>
      <rPr>
        <b/>
        <sz val="11"/>
        <color theme="1"/>
        <rFont val="Calibri"/>
        <family val="2"/>
        <scheme val="minor"/>
      </rPr>
      <t>Cost of Capital:</t>
    </r>
    <r>
      <rPr>
        <sz val="11"/>
        <color theme="1"/>
        <rFont val="Calibri"/>
        <family val="2"/>
        <scheme val="minor"/>
      </rPr>
      <t xml:space="preserve"> 8.0% (assumed based on typical corporate WACC range for large U.S. firms)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</si>
</sst>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[$€-2]\ * #,##0.00_);_([$€-2]\ * \(#,##0.00\);_([$€-2]\ * &quot;-&quot;??_);_(@_)"/>
    <numFmt numFmtId="165" formatCode="_(&quot;$&quot;* #,##0.000_);_(&quot;$&quot;* \(#,##0.000\);_(&quot;$&quot;* &quot;-&quot;??_);_(@_)"/>
    <numFmt numFmtId="169" formatCode="#,##0.0000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2"/>
      <name val="Calibri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0" applyFont="1"/>
    <xf numFmtId="0" fontId="4" fillId="0" borderId="0" xfId="0" applyFont="1"/>
    <xf numFmtId="0" fontId="0" fillId="6" borderId="0" xfId="0" applyFill="1"/>
    <xf numFmtId="0" fontId="0" fillId="0" borderId="0" xfId="0" applyAlignment="1">
      <alignment horizontal="left" indent="2"/>
    </xf>
    <xf numFmtId="164" fontId="0" fillId="7" borderId="0" xfId="1" applyNumberFormat="1" applyFont="1" applyFill="1"/>
    <xf numFmtId="0" fontId="0" fillId="7" borderId="0" xfId="0" applyFill="1"/>
    <xf numFmtId="165" fontId="0" fillId="7" borderId="0" xfId="1" applyNumberFormat="1" applyFont="1" applyFill="1"/>
    <xf numFmtId="169" fontId="0" fillId="7" borderId="0" xfId="0" applyNumberFormat="1" applyFill="1"/>
    <xf numFmtId="44" fontId="0" fillId="0" borderId="0" xfId="1" applyFont="1"/>
    <xf numFmtId="164" fontId="0" fillId="0" borderId="0" xfId="1" applyNumberFormat="1" applyFont="1"/>
    <xf numFmtId="0" fontId="0" fillId="8" borderId="0" xfId="0" applyFill="1"/>
    <xf numFmtId="0" fontId="0" fillId="4" borderId="0" xfId="0" applyFill="1" applyAlignment="1"/>
    <xf numFmtId="0" fontId="0" fillId="4" borderId="0" xfId="0" applyFill="1" applyAlignment="1">
      <alignment horizontal="left"/>
    </xf>
    <xf numFmtId="0" fontId="0" fillId="0" borderId="0" xfId="0" applyAlignment="1">
      <alignment horizontal="left"/>
    </xf>
    <xf numFmtId="0" fontId="4" fillId="8" borderId="0" xfId="0" applyFont="1" applyFill="1"/>
    <xf numFmtId="0" fontId="4" fillId="0" borderId="0" xfId="0" applyFont="1" applyFill="1"/>
    <xf numFmtId="9" fontId="0" fillId="0" borderId="0" xfId="0" applyNumberFormat="1" applyFill="1" applyAlignment="1">
      <alignment horizontal="right"/>
    </xf>
    <xf numFmtId="0" fontId="0" fillId="0" borderId="0" xfId="0" applyFont="1" applyFill="1"/>
    <xf numFmtId="44" fontId="0" fillId="0" borderId="0" xfId="1" applyFont="1" applyFill="1"/>
    <xf numFmtId="44" fontId="0" fillId="8" borderId="0" xfId="0" applyNumberFormat="1" applyFill="1"/>
    <xf numFmtId="0" fontId="0" fillId="8" borderId="0" xfId="0" applyFill="1" applyAlignment="1">
      <alignment horizontal="left" indent="2"/>
    </xf>
    <xf numFmtId="0" fontId="4" fillId="8" borderId="1" xfId="0" applyFont="1" applyFill="1" applyBorder="1" applyAlignment="1">
      <alignment horizontal="left"/>
    </xf>
    <xf numFmtId="0" fontId="5" fillId="8" borderId="0" xfId="0" applyFont="1" applyFill="1"/>
    <xf numFmtId="0" fontId="0" fillId="0" borderId="0" xfId="0" applyAlignment="1">
      <alignment horizontal="left" vertical="center" indent="2"/>
    </xf>
    <xf numFmtId="0" fontId="0" fillId="0" borderId="0" xfId="0" applyFill="1" applyAlignme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EF086-10C3-4D13-83E4-B300B36AEBD6}">
  <dimension ref="A1:H52"/>
  <sheetViews>
    <sheetView tabSelected="1" topLeftCell="A15" workbookViewId="0">
      <selection activeCell="H20" sqref="H20"/>
    </sheetView>
  </sheetViews>
  <sheetFormatPr defaultRowHeight="15" x14ac:dyDescent="0.25"/>
  <cols>
    <col min="1" max="1" width="27.140625" bestFit="1" customWidth="1"/>
    <col min="2" max="2" width="15.7109375" bestFit="1" customWidth="1"/>
    <col min="3" max="3" width="18" bestFit="1" customWidth="1"/>
    <col min="4" max="4" width="24" bestFit="1" customWidth="1"/>
    <col min="5" max="5" width="15.28515625" bestFit="1" customWidth="1"/>
  </cols>
  <sheetData>
    <row r="1" spans="1:3" ht="15.75" x14ac:dyDescent="0.25">
      <c r="A1" s="6" t="s">
        <v>7</v>
      </c>
    </row>
    <row r="3" spans="1:3" ht="15.75" x14ac:dyDescent="0.25">
      <c r="A3" s="6" t="s">
        <v>8</v>
      </c>
    </row>
    <row r="4" spans="1:3" x14ac:dyDescent="0.25">
      <c r="A4" s="7" t="s">
        <v>9</v>
      </c>
      <c r="B4" s="7" t="s">
        <v>10</v>
      </c>
      <c r="C4" s="7" t="s">
        <v>11</v>
      </c>
    </row>
    <row r="5" spans="1:3" x14ac:dyDescent="0.25">
      <c r="A5" t="s">
        <v>31</v>
      </c>
      <c r="B5" s="10">
        <v>20000000</v>
      </c>
      <c r="C5" s="8" t="s">
        <v>17</v>
      </c>
    </row>
    <row r="6" spans="1:3" x14ac:dyDescent="0.25">
      <c r="A6" t="s">
        <v>30</v>
      </c>
      <c r="B6" s="13">
        <v>1.0900000000000001</v>
      </c>
      <c r="C6" s="8" t="s">
        <v>32</v>
      </c>
    </row>
    <row r="7" spans="1:3" x14ac:dyDescent="0.25">
      <c r="A7" t="s">
        <v>12</v>
      </c>
      <c r="B7" s="11">
        <v>1.0934999999999999</v>
      </c>
      <c r="C7" s="8" t="s">
        <v>33</v>
      </c>
    </row>
    <row r="8" spans="1:3" x14ac:dyDescent="0.25">
      <c r="A8" t="s">
        <v>15</v>
      </c>
      <c r="B8" s="11">
        <v>0.05</v>
      </c>
      <c r="C8" s="8" t="s">
        <v>20</v>
      </c>
    </row>
    <row r="9" spans="1:3" x14ac:dyDescent="0.25">
      <c r="A9" t="s">
        <v>16</v>
      </c>
      <c r="B9" s="11">
        <v>0.03</v>
      </c>
      <c r="C9" s="8" t="s">
        <v>21</v>
      </c>
    </row>
    <row r="10" spans="1:3" x14ac:dyDescent="0.25">
      <c r="A10" t="s">
        <v>13</v>
      </c>
      <c r="B10" s="12">
        <v>1.0900000000000001</v>
      </c>
      <c r="C10" s="8" t="s">
        <v>18</v>
      </c>
    </row>
    <row r="11" spans="1:3" x14ac:dyDescent="0.25">
      <c r="A11" t="s">
        <v>37</v>
      </c>
      <c r="B11" s="12">
        <v>1.0900000000000001</v>
      </c>
      <c r="C11" s="8" t="s">
        <v>34</v>
      </c>
    </row>
    <row r="12" spans="1:3" x14ac:dyDescent="0.25">
      <c r="A12" t="s">
        <v>14</v>
      </c>
      <c r="B12" s="12">
        <v>1.9E-2</v>
      </c>
      <c r="C12" s="8" t="s">
        <v>19</v>
      </c>
    </row>
    <row r="13" spans="1:3" x14ac:dyDescent="0.25">
      <c r="A13" t="s">
        <v>38</v>
      </c>
      <c r="B13" s="12">
        <v>2.4E-2</v>
      </c>
      <c r="C13" s="8" t="s">
        <v>35</v>
      </c>
    </row>
    <row r="14" spans="1:3" x14ac:dyDescent="0.25">
      <c r="A14" t="s">
        <v>39</v>
      </c>
      <c r="B14" s="11">
        <v>365</v>
      </c>
      <c r="C14" s="8" t="s">
        <v>36</v>
      </c>
    </row>
    <row r="17" spans="1:8" ht="15.75" x14ac:dyDescent="0.25">
      <c r="A17" s="6" t="s">
        <v>22</v>
      </c>
    </row>
    <row r="18" spans="1:8" x14ac:dyDescent="0.25">
      <c r="A18" s="7" t="s">
        <v>23</v>
      </c>
      <c r="B18" s="7" t="s">
        <v>10</v>
      </c>
      <c r="C18" s="7" t="s">
        <v>24</v>
      </c>
    </row>
    <row r="19" spans="1:8" x14ac:dyDescent="0.25">
      <c r="A19" t="s">
        <v>25</v>
      </c>
      <c r="B19" s="14">
        <f>FC_AMT*F0_in</f>
        <v>21870000</v>
      </c>
      <c r="C19" s="18" t="s">
        <v>43</v>
      </c>
      <c r="D19" s="18"/>
      <c r="E19" s="30"/>
      <c r="F19" s="19"/>
      <c r="G19" s="19"/>
      <c r="H19" s="19"/>
    </row>
    <row r="20" spans="1:8" x14ac:dyDescent="0.25">
      <c r="A20" t="s">
        <v>26</v>
      </c>
      <c r="B20" s="14"/>
      <c r="C20" s="19"/>
      <c r="D20" s="19"/>
      <c r="E20" s="19"/>
      <c r="F20" s="19"/>
      <c r="G20" s="19"/>
      <c r="H20" s="19"/>
    </row>
    <row r="21" spans="1:8" x14ac:dyDescent="0.25">
      <c r="A21" s="9" t="s">
        <v>27</v>
      </c>
      <c r="B21" s="15">
        <f>FC_AMT/(1+R_eur)</f>
        <v>19417475.728155341</v>
      </c>
      <c r="C21" s="17" t="s">
        <v>44</v>
      </c>
      <c r="D21" s="17"/>
      <c r="E21" s="30"/>
      <c r="F21" s="19"/>
      <c r="G21" s="19"/>
      <c r="H21" s="19"/>
    </row>
    <row r="22" spans="1:8" x14ac:dyDescent="0.25">
      <c r="A22" s="9" t="s">
        <v>28</v>
      </c>
      <c r="B22" s="14">
        <f>(FC_AMT/(1+R_eur))*S0_in</f>
        <v>21165048.543689322</v>
      </c>
      <c r="C22" s="17" t="s">
        <v>45</v>
      </c>
      <c r="D22" s="17"/>
      <c r="E22" s="30"/>
      <c r="F22" s="30"/>
      <c r="G22" s="19"/>
      <c r="H22" s="19"/>
    </row>
    <row r="23" spans="1:8" x14ac:dyDescent="0.25">
      <c r="A23" s="9" t="s">
        <v>29</v>
      </c>
      <c r="B23" s="14">
        <f>((FC_AMT/(1+R_eur))*S0_in)*(1+R_usd)</f>
        <v>22223300.970873788</v>
      </c>
      <c r="C23" s="17" t="s">
        <v>46</v>
      </c>
      <c r="D23" s="17"/>
      <c r="E23" s="17"/>
      <c r="F23" s="30"/>
      <c r="G23" s="30"/>
      <c r="H23" s="19"/>
    </row>
    <row r="24" spans="1:8" x14ac:dyDescent="0.25">
      <c r="A24" t="s">
        <v>40</v>
      </c>
      <c r="B24" s="14"/>
      <c r="C24" s="19"/>
      <c r="D24" s="19"/>
      <c r="E24" s="19"/>
      <c r="F24" s="19"/>
      <c r="G24" s="19"/>
      <c r="H24" s="19"/>
    </row>
    <row r="25" spans="1:8" x14ac:dyDescent="0.25">
      <c r="A25" s="9" t="s">
        <v>41</v>
      </c>
      <c r="B25" s="14">
        <f>(FC_AMT*K_put)-(FC_AMT*PREM_put)</f>
        <v>21420000</v>
      </c>
      <c r="C25" s="17" t="s">
        <v>47</v>
      </c>
      <c r="D25" s="17"/>
      <c r="E25" s="17"/>
      <c r="F25" s="17"/>
      <c r="G25" s="30"/>
      <c r="H25" s="30"/>
    </row>
    <row r="26" spans="1:8" x14ac:dyDescent="0.25">
      <c r="A26" s="9" t="s">
        <v>42</v>
      </c>
      <c r="B26" s="14">
        <f>FC_AMT*PREM_call</f>
        <v>480000</v>
      </c>
      <c r="C26" s="17" t="s">
        <v>48</v>
      </c>
      <c r="D26" s="17"/>
      <c r="E26" s="19"/>
      <c r="F26" s="19"/>
      <c r="G26" s="19"/>
      <c r="H26" s="19"/>
    </row>
    <row r="29" spans="1:8" ht="15.75" x14ac:dyDescent="0.25">
      <c r="A29" s="6" t="s">
        <v>49</v>
      </c>
    </row>
    <row r="30" spans="1:8" x14ac:dyDescent="0.25">
      <c r="A30" s="21" t="s">
        <v>50</v>
      </c>
      <c r="B30" s="21" t="s">
        <v>51</v>
      </c>
      <c r="C30" s="21" t="s">
        <v>55</v>
      </c>
      <c r="D30" s="21" t="s">
        <v>56</v>
      </c>
      <c r="E30" s="21" t="s">
        <v>54</v>
      </c>
    </row>
    <row r="31" spans="1:8" x14ac:dyDescent="0.25">
      <c r="A31" s="22">
        <v>-0.05</v>
      </c>
      <c r="B31" s="23">
        <f>S0_in*(1+A31)</f>
        <v>1.0355000000000001</v>
      </c>
      <c r="C31" s="24">
        <f>FC_AMT*S0_in</f>
        <v>21800000</v>
      </c>
      <c r="D31" s="24">
        <f>((FC_AMT/(1+R_eur))*S0_in)*(1+R_usd)</f>
        <v>22223300.970873788</v>
      </c>
      <c r="E31" s="24">
        <f>FC_AMT * MAX(B31, K_put) - (FC_AMT * PREM_put)</f>
        <v>21420000</v>
      </c>
    </row>
    <row r="32" spans="1:8" x14ac:dyDescent="0.25">
      <c r="A32" s="22">
        <v>-0.04</v>
      </c>
      <c r="B32" s="23">
        <f>S0_in*(1+A32)</f>
        <v>1.0464</v>
      </c>
      <c r="C32" s="24">
        <f>FC_AMT*S0_in</f>
        <v>21800000</v>
      </c>
      <c r="D32" s="24">
        <f>((FC_AMT/(1+R_eur))*S0_in)*(1+R_usd)</f>
        <v>22223300.970873788</v>
      </c>
      <c r="E32" s="24">
        <f>FC_AMT * MAX(B32, K_put) - (FC_AMT * PREM_put)</f>
        <v>21420000</v>
      </c>
    </row>
    <row r="33" spans="1:5" x14ac:dyDescent="0.25">
      <c r="A33" s="22">
        <v>-0.03</v>
      </c>
      <c r="B33" s="23">
        <f>S0_in*(1+A33)</f>
        <v>1.0573000000000001</v>
      </c>
      <c r="C33" s="24">
        <f>FC_AMT*S0_in</f>
        <v>21800000</v>
      </c>
      <c r="D33" s="24">
        <f>((FC_AMT/(1+R_eur))*S0_in)*(1+R_usd)</f>
        <v>22223300.970873788</v>
      </c>
      <c r="E33" s="24">
        <f>FC_AMT * MAX(B33, K_put) - (FC_AMT * PREM_put)</f>
        <v>21420000</v>
      </c>
    </row>
    <row r="34" spans="1:5" x14ac:dyDescent="0.25">
      <c r="A34" s="22">
        <v>-0.02</v>
      </c>
      <c r="B34" s="23">
        <f>S0_in*(1+A34)</f>
        <v>1.0682</v>
      </c>
      <c r="C34" s="24">
        <f>FC_AMT*S0_in</f>
        <v>21800000</v>
      </c>
      <c r="D34" s="24">
        <f>((FC_AMT/(1+R_eur))*S0_in)*(1+R_usd)</f>
        <v>22223300.970873788</v>
      </c>
      <c r="E34" s="24">
        <f>FC_AMT * MAX(B34, K_put) - (FC_AMT * PREM_put)</f>
        <v>21420000</v>
      </c>
    </row>
    <row r="35" spans="1:5" x14ac:dyDescent="0.25">
      <c r="A35" s="22">
        <v>-0.01</v>
      </c>
      <c r="B35" s="23">
        <f>S0_in*(1+A35)</f>
        <v>1.0791000000000002</v>
      </c>
      <c r="C35" s="24">
        <f>FC_AMT*S0_in</f>
        <v>21800000</v>
      </c>
      <c r="D35" s="24">
        <f>((FC_AMT/(1+R_eur))*S0_in)*(1+R_usd)</f>
        <v>22223300.970873788</v>
      </c>
      <c r="E35" s="24">
        <f>FC_AMT * MAX(B35, K_put) - (FC_AMT * PREM_put)</f>
        <v>21420000</v>
      </c>
    </row>
    <row r="36" spans="1:5" x14ac:dyDescent="0.25">
      <c r="A36" s="22">
        <v>0</v>
      </c>
      <c r="B36" s="23">
        <f>S0_in*(1+A36)</f>
        <v>1.0900000000000001</v>
      </c>
      <c r="C36" s="24">
        <f>FC_AMT*S0_in</f>
        <v>21800000</v>
      </c>
      <c r="D36" s="24">
        <f>((FC_AMT/(1+R_eur))*S0_in)*(1+R_usd)</f>
        <v>22223300.970873788</v>
      </c>
      <c r="E36" s="24">
        <f>FC_AMT * MAX(B36, K_put) - (FC_AMT * PREM_put)</f>
        <v>21420000</v>
      </c>
    </row>
    <row r="37" spans="1:5" x14ac:dyDescent="0.25">
      <c r="A37" s="22">
        <v>0.01</v>
      </c>
      <c r="B37" s="23">
        <f>S0_in*(1+A37)</f>
        <v>1.1009</v>
      </c>
      <c r="C37" s="24">
        <f>FC_AMT*S0_in</f>
        <v>21800000</v>
      </c>
      <c r="D37" s="24">
        <f>((FC_AMT/(1+R_eur))*S0_in)*(1+R_usd)</f>
        <v>22223300.970873788</v>
      </c>
      <c r="E37" s="24">
        <f>FC_AMT * MAX(B37, K_put) - (FC_AMT * PREM_put)</f>
        <v>21638000</v>
      </c>
    </row>
    <row r="38" spans="1:5" x14ac:dyDescent="0.25">
      <c r="A38" s="22">
        <v>0.02</v>
      </c>
      <c r="B38" s="23">
        <f>S0_in*(1+A38)</f>
        <v>1.1118000000000001</v>
      </c>
      <c r="C38" s="24">
        <f>FC_AMT*S0_in</f>
        <v>21800000</v>
      </c>
      <c r="D38" s="24">
        <f>((FC_AMT/(1+R_eur))*S0_in)*(1+R_usd)</f>
        <v>22223300.970873788</v>
      </c>
      <c r="E38" s="24">
        <f>FC_AMT * MAX(B38, K_put) - (FC_AMT * PREM_put)</f>
        <v>21856000.000000004</v>
      </c>
    </row>
    <row r="39" spans="1:5" x14ac:dyDescent="0.25">
      <c r="A39" s="22">
        <v>0.03</v>
      </c>
      <c r="B39" s="23">
        <f>S0_in*(1+A39)</f>
        <v>1.1227</v>
      </c>
      <c r="C39" s="24">
        <f>FC_AMT*S0_in</f>
        <v>21800000</v>
      </c>
      <c r="D39" s="24">
        <f>((FC_AMT/(1+R_eur))*S0_in)*(1+R_usd)</f>
        <v>22223300.970873788</v>
      </c>
      <c r="E39" s="24">
        <f>FC_AMT * MAX(B39, K_put) - (FC_AMT * PREM_put)</f>
        <v>22074000</v>
      </c>
    </row>
    <row r="40" spans="1:5" x14ac:dyDescent="0.25">
      <c r="A40" s="22">
        <v>0.04</v>
      </c>
      <c r="B40" s="23">
        <f>S0_in*(1+A40)</f>
        <v>1.1336000000000002</v>
      </c>
      <c r="C40" s="24">
        <f>FC_AMT*S0_in</f>
        <v>21800000</v>
      </c>
      <c r="D40" s="24">
        <f>((FC_AMT/(1+R_eur))*S0_in)*(1+R_usd)</f>
        <v>22223300.970873788</v>
      </c>
      <c r="E40" s="24">
        <f>FC_AMT * MAX(B40, K_put) - (FC_AMT * PREM_put)</f>
        <v>22292000.000000004</v>
      </c>
    </row>
    <row r="41" spans="1:5" x14ac:dyDescent="0.25">
      <c r="A41" s="22">
        <v>0.05</v>
      </c>
      <c r="B41" s="23">
        <f>S0_in*(1+A41)</f>
        <v>1.1445000000000001</v>
      </c>
      <c r="C41" s="24">
        <f>FC_AMT*S0_in</f>
        <v>21800000</v>
      </c>
      <c r="D41" s="24">
        <f>((FC_AMT/(1+R_eur))*S0_in)*(1+R_usd)</f>
        <v>22223300.970873788</v>
      </c>
      <c r="E41" s="24">
        <f>FC_AMT * MAX(B41, K_put) - (FC_AMT * PREM_put)</f>
        <v>22510000</v>
      </c>
    </row>
    <row r="44" spans="1:5" ht="15.75" x14ac:dyDescent="0.25">
      <c r="A44" s="6" t="s">
        <v>57</v>
      </c>
    </row>
    <row r="45" spans="1:5" x14ac:dyDescent="0.25">
      <c r="A45" s="20" t="s">
        <v>58</v>
      </c>
      <c r="B45" s="20" t="s">
        <v>59</v>
      </c>
    </row>
    <row r="46" spans="1:5" x14ac:dyDescent="0.25">
      <c r="A46" s="16" t="s">
        <v>52</v>
      </c>
      <c r="B46" s="25">
        <f>C36</f>
        <v>21800000</v>
      </c>
    </row>
    <row r="47" spans="1:5" x14ac:dyDescent="0.25">
      <c r="A47" s="16" t="s">
        <v>53</v>
      </c>
      <c r="B47" s="25">
        <f>D36</f>
        <v>22223300.970873788</v>
      </c>
    </row>
    <row r="48" spans="1:5" x14ac:dyDescent="0.25">
      <c r="A48" s="16" t="s">
        <v>62</v>
      </c>
      <c r="B48" s="25">
        <f>E36</f>
        <v>21420000</v>
      </c>
    </row>
    <row r="49" spans="1:2" x14ac:dyDescent="0.25">
      <c r="A49" s="26" t="s">
        <v>60</v>
      </c>
      <c r="B49" s="25">
        <f>E31</f>
        <v>21420000</v>
      </c>
    </row>
    <row r="50" spans="1:2" x14ac:dyDescent="0.25">
      <c r="A50" s="26" t="s">
        <v>61</v>
      </c>
      <c r="B50" s="25">
        <f>E41</f>
        <v>22510000</v>
      </c>
    </row>
    <row r="51" spans="1:2" x14ac:dyDescent="0.25">
      <c r="A51" s="27" t="s">
        <v>63</v>
      </c>
      <c r="B51" s="27"/>
    </row>
    <row r="52" spans="1:2" x14ac:dyDescent="0.25">
      <c r="A52" s="28" t="s">
        <v>64</v>
      </c>
      <c r="B52" s="16"/>
    </row>
  </sheetData>
  <mergeCells count="2">
    <mergeCell ref="A51:B51"/>
    <mergeCell ref="C19:D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CBD58-A222-447E-9A79-98FF70642C2C}">
  <dimension ref="A1:B23"/>
  <sheetViews>
    <sheetView workbookViewId="0">
      <selection activeCell="F10" sqref="F10"/>
    </sheetView>
  </sheetViews>
  <sheetFormatPr defaultRowHeight="15" x14ac:dyDescent="0.25"/>
  <cols>
    <col min="1" max="1" width="60" customWidth="1"/>
    <col min="2" max="2" width="15" customWidth="1"/>
  </cols>
  <sheetData>
    <row r="1" spans="1:2" ht="15.75" x14ac:dyDescent="0.25">
      <c r="A1" s="1" t="s">
        <v>0</v>
      </c>
    </row>
    <row r="3" spans="1:2" x14ac:dyDescent="0.25">
      <c r="A3" t="s">
        <v>71</v>
      </c>
    </row>
    <row r="4" spans="1:2" x14ac:dyDescent="0.25">
      <c r="A4" t="s">
        <v>72</v>
      </c>
    </row>
    <row r="5" spans="1:2" x14ac:dyDescent="0.25">
      <c r="A5" t="s">
        <v>73</v>
      </c>
    </row>
    <row r="6" spans="1:2" x14ac:dyDescent="0.25">
      <c r="A6" t="s">
        <v>74</v>
      </c>
    </row>
    <row r="7" spans="1:2" x14ac:dyDescent="0.25">
      <c r="A7" t="s">
        <v>75</v>
      </c>
    </row>
    <row r="8" spans="1:2" x14ac:dyDescent="0.25">
      <c r="A8" t="s">
        <v>76</v>
      </c>
    </row>
    <row r="10" spans="1:2" x14ac:dyDescent="0.25">
      <c r="A10" s="7" t="s">
        <v>1</v>
      </c>
    </row>
    <row r="11" spans="1:2" x14ac:dyDescent="0.25">
      <c r="A11" t="s">
        <v>2</v>
      </c>
      <c r="B11" s="2"/>
    </row>
    <row r="12" spans="1:2" x14ac:dyDescent="0.25">
      <c r="A12" t="s">
        <v>3</v>
      </c>
      <c r="B12" s="3"/>
    </row>
    <row r="13" spans="1:2" x14ac:dyDescent="0.25">
      <c r="A13" t="s">
        <v>4</v>
      </c>
      <c r="B13" s="4"/>
    </row>
    <row r="14" spans="1:2" x14ac:dyDescent="0.25">
      <c r="A14" t="s">
        <v>5</v>
      </c>
      <c r="B14" s="5"/>
    </row>
    <row r="16" spans="1:2" x14ac:dyDescent="0.25">
      <c r="A16" s="7" t="s">
        <v>6</v>
      </c>
    </row>
    <row r="17" spans="1:1" x14ac:dyDescent="0.25">
      <c r="A17" t="s">
        <v>70</v>
      </c>
    </row>
    <row r="18" spans="1:1" x14ac:dyDescent="0.25">
      <c r="A18" s="29" t="s">
        <v>65</v>
      </c>
    </row>
    <row r="19" spans="1:1" x14ac:dyDescent="0.25">
      <c r="A19" s="29" t="s">
        <v>66</v>
      </c>
    </row>
    <row r="20" spans="1:1" x14ac:dyDescent="0.25">
      <c r="A20" s="29" t="s">
        <v>67</v>
      </c>
    </row>
    <row r="21" spans="1:1" x14ac:dyDescent="0.25">
      <c r="A21" s="29" t="s">
        <v>68</v>
      </c>
    </row>
    <row r="23" spans="1:1" x14ac:dyDescent="0.25">
      <c r="A23" t="s">
        <v>69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6d48bd7-a8ec-495f-9684-067f65f4b446}" enabled="1" method="Standard" siteId="{3847dec6-63b2-43f9-a6d0-58a40aaa1a1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Main Model</vt:lpstr>
      <vt:lpstr>Notes</vt:lpstr>
      <vt:lpstr>F0_in</vt:lpstr>
      <vt:lpstr>F0_rate</vt:lpstr>
      <vt:lpstr>FC_AMT</vt:lpstr>
      <vt:lpstr>K_call</vt:lpstr>
      <vt:lpstr>K_put</vt:lpstr>
      <vt:lpstr>PREM_call</vt:lpstr>
      <vt:lpstr>PREM_put</vt:lpstr>
      <vt:lpstr>R_eur</vt:lpstr>
      <vt:lpstr>R_usd</vt:lpstr>
      <vt:lpstr>S0_in</vt:lpstr>
      <vt:lpstr>T_days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Talioaga, Kaye Ashbrielle R</dc:creator>
  <cp:lastModifiedBy>Talioaga, Kaye Ashbrielle R</cp:lastModifiedBy>
  <dcterms:created xsi:type="dcterms:W3CDTF">2026-04-09T22:36:04Z</dcterms:created>
  <dcterms:modified xsi:type="dcterms:W3CDTF">2026-04-10T00:35:39Z</dcterms:modified>
</cp:coreProperties>
</file>